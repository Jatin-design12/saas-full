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421064\Desktop\"/>
    </mc:Choice>
  </mc:AlternateContent>
  <xr:revisionPtr revIDLastSave="0" documentId="13_ncr:1_{BD3579A6-408C-4309-ADA4-50D981B5C74C}" xr6:coauthVersionLast="47" xr6:coauthVersionMax="47" xr10:uidLastSave="{00000000-0000-0000-0000-000000000000}"/>
  <bookViews>
    <workbookView xWindow="-110" yWindow="-110" windowWidth="19420" windowHeight="11500" tabRatio="777" xr2:uid="{00000000-000D-0000-FFFF-FFFF00000000}"/>
  </bookViews>
  <sheets>
    <sheet name="Checklist" sheetId="2" r:id="rId1"/>
    <sheet name="Approval Matrix" sheetId="4" r:id="rId2"/>
    <sheet name="API Risk score1" sheetId="7" r:id="rId3"/>
    <sheet name="API risk score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7" l="1"/>
  <c r="S9" i="7"/>
  <c r="R9" i="7"/>
  <c r="Q9" i="7"/>
  <c r="P9" i="7"/>
  <c r="O9" i="7"/>
  <c r="N9" i="7"/>
  <c r="M9" i="7"/>
  <c r="L9" i="7"/>
  <c r="K9" i="7"/>
  <c r="J9" i="7"/>
  <c r="I9" i="7"/>
  <c r="H9" i="7"/>
  <c r="D21" i="2" l="1"/>
  <c r="C5" i="2" l="1"/>
  <c r="G5" i="2"/>
  <c r="F5" i="2"/>
  <c r="E5" i="2"/>
  <c r="D5" i="2"/>
  <c r="D23" i="2"/>
  <c r="D22" i="2"/>
  <c r="D20" i="2"/>
  <c r="D19" i="2"/>
  <c r="D18" i="2"/>
  <c r="C6" i="2" l="1"/>
  <c r="D6" i="2" s="1"/>
  <c r="B10" i="2"/>
  <c r="D10" i="2" s="1"/>
  <c r="B9" i="2"/>
  <c r="D9" i="2" s="1"/>
  <c r="B7" i="2" l="1"/>
</calcChain>
</file>

<file path=xl/sharedStrings.xml><?xml version="1.0" encoding="utf-8"?>
<sst xmlns="http://schemas.openxmlformats.org/spreadsheetml/2006/main" count="146" uniqueCount="130">
  <si>
    <t>Legal and regulatory assessment</t>
  </si>
  <si>
    <t>Has the firm received notice from any regulatory body in the last 5 years</t>
  </si>
  <si>
    <t>Any major litigations in Police / Court / DRT / Income Tax / ED / CBI / Labour Court or any such regulatory body</t>
  </si>
  <si>
    <t>Checklist</t>
  </si>
  <si>
    <t>The Integrator has means to implement necessary security, data protection or privacy controls (encryption technology, Firewall, etc.)</t>
  </si>
  <si>
    <t>Technology and Security</t>
  </si>
  <si>
    <t>Is the process defined for secure disposal or re-use of assets by vendor / CSP</t>
  </si>
  <si>
    <t>Does the CSP has Next generation Firewall for inspection and layer 7 security controls for  east west and north south traffic</t>
  </si>
  <si>
    <t>Domain</t>
  </si>
  <si>
    <t>Business assessment</t>
  </si>
  <si>
    <t>Type of Business</t>
  </si>
  <si>
    <t>Client server is hosted in which geography? (India or Other)</t>
  </si>
  <si>
    <t xml:space="preserve">
- Average Transactions volume per Day/Month/Quarter/Year
- Average Transaction Value per Day/Month/Quarter/Year
What is the projected Transaction value and volume per Day?</t>
  </si>
  <si>
    <t>Server is on cloud or inhouse</t>
  </si>
  <si>
    <t>Is SOP in place for identified assets for business criticality and operational continuity?</t>
  </si>
  <si>
    <t xml:space="preserve">Does the CSP/ Inhouse server has documented and tested Business Continuity (BCP) and Disaster Recovery Plan (DRP) available? If Yes, kindly mention the location where the Banks data would be stored? </t>
  </si>
  <si>
    <t>Are the security controls in place to segregate the bank data from other tenants’ data if Bank's data is being stored in shared environment?</t>
  </si>
  <si>
    <t>Is critical data stored in encrypted format along with one way hashing?</t>
  </si>
  <si>
    <t>What is the retention time for storage of data which is required for legal, regulatory, and business requirements?</t>
  </si>
  <si>
    <t>Is there SOP in place for secured deletion/purging of all information / data from CSP environment?</t>
  </si>
  <si>
    <t>Will there be any use of ICICI name for branding/marketing purposes?</t>
  </si>
  <si>
    <t>If yes for above, whether approval from ICICI Bank has been taken or not?</t>
  </si>
  <si>
    <t>Brand permission letter signed or not for usage of I man logo</t>
  </si>
  <si>
    <t>The Integrator has certifications for IT infrastructure (ISO 27001 / ISO IEC 20000-1 / others) or they are using standard cloud-based systems such as AWS</t>
  </si>
  <si>
    <t>The Integrator has a disaster recovery system for its IT system</t>
  </si>
  <si>
    <t>Brand Assesment</t>
  </si>
  <si>
    <t>Is the disaster recovery system based within India</t>
  </si>
  <si>
    <t>Score</t>
  </si>
  <si>
    <t>Client name</t>
  </si>
  <si>
    <t>CIB Single payment API</t>
  </si>
  <si>
    <t>API</t>
  </si>
  <si>
    <t>Medium</t>
  </si>
  <si>
    <t>Low</t>
  </si>
  <si>
    <t>eCollection</t>
  </si>
  <si>
    <t>iSurepay</t>
  </si>
  <si>
    <t>CIB Bulk API</t>
  </si>
  <si>
    <t>BBPS</t>
  </si>
  <si>
    <t>eNACH</t>
  </si>
  <si>
    <t>UPI Collection</t>
  </si>
  <si>
    <t>Composite Pay</t>
  </si>
  <si>
    <t>TAX API</t>
  </si>
  <si>
    <t>Transaction alert API</t>
  </si>
  <si>
    <t>Integrator score</t>
  </si>
  <si>
    <t>ISG score</t>
  </si>
  <si>
    <t>Client details</t>
  </si>
  <si>
    <t>Please fill yellow colored cells</t>
  </si>
  <si>
    <t>Approval matrix</t>
  </si>
  <si>
    <t>API risk</t>
  </si>
  <si>
    <t>ISG</t>
  </si>
  <si>
    <t>Not applicable for direct customer integration</t>
  </si>
  <si>
    <t>Type of integration</t>
  </si>
  <si>
    <t>Direct integration with client</t>
  </si>
  <si>
    <t>e-Commerce</t>
  </si>
  <si>
    <t>Manufacturing</t>
  </si>
  <si>
    <t>Services</t>
  </si>
  <si>
    <t>Large corporate having Dealer collection model</t>
  </si>
  <si>
    <t>Finance/ NBFC</t>
  </si>
  <si>
    <t>Small &amp; Mid-Size corporates</t>
  </si>
  <si>
    <t>IT/ ITES</t>
  </si>
  <si>
    <t>Others</t>
  </si>
  <si>
    <t>Please select</t>
  </si>
  <si>
    <t>Business use case (Please write business use case)</t>
  </si>
  <si>
    <t>API product (Select in subsequent column for multiple products)</t>
  </si>
  <si>
    <t>API Score</t>
  </si>
  <si>
    <t>Remark</t>
  </si>
  <si>
    <t>Note: Please write in remarks in case of others</t>
  </si>
  <si>
    <t>To</t>
  </si>
  <si>
    <t>Through</t>
  </si>
  <si>
    <t>ISG (Sudhir Dalvi)</t>
  </si>
  <si>
    <t>Brand (Sachin Shukla)</t>
  </si>
  <si>
    <t>For info</t>
  </si>
  <si>
    <t>S.No.</t>
  </si>
  <si>
    <t>Risk Area</t>
  </si>
  <si>
    <t xml:space="preserve">Applicability of Checklist </t>
  </si>
  <si>
    <t>Scoring Criteria</t>
  </si>
  <si>
    <t>Internal APIs</t>
  </si>
  <si>
    <t>External 
Published</t>
  </si>
  <si>
    <t>External 
Consumed</t>
  </si>
  <si>
    <t>ENACH</t>
  </si>
  <si>
    <t>CIB API</t>
  </si>
  <si>
    <t>CIB bulk API</t>
  </si>
  <si>
    <t>UPI</t>
  </si>
  <si>
    <t>Composite</t>
  </si>
  <si>
    <t>IMPS</t>
  </si>
  <si>
    <t>TAX</t>
  </si>
  <si>
    <t>GST</t>
  </si>
  <si>
    <t>eCollections</t>
  </si>
  <si>
    <t>I-Sure Pay</t>
  </si>
  <si>
    <t>Transaction Alert</t>
  </si>
  <si>
    <t>Information 
/ Data 
Shared</t>
  </si>
  <si>
    <t>Does the API handle any customer specific 
information?</t>
  </si>
  <si>
    <t>1. Non-encrypted Customer data -15 
2. Encrypted Customer data -7.5 
3. Non-customer data - 0</t>
  </si>
  <si>
    <t>Does the API handle any personally identifiable information (PII)?</t>
  </si>
  <si>
    <t>Type of 
Transaction</t>
  </si>
  <si>
    <t>Is the API meant for financial 
transaction?</t>
  </si>
  <si>
    <t>1. Non-encrypted financial transaction API -20 
2. Encrypted financial transaction API -10
3. Non-financial transactional API -0</t>
  </si>
  <si>
    <t>Will the API allow bulk data 
transfer?</t>
  </si>
  <si>
    <t xml:space="preserve">1. Yes -10
2. No -0 </t>
  </si>
  <si>
    <t>Security</t>
  </si>
  <si>
    <t>What is the encryption protocol used 
for the API?</t>
  </si>
  <si>
    <t xml:space="preserve">1. HTTPS TLS 1.2 -0
2. Any other -20 </t>
  </si>
  <si>
    <t>Business 
impact*</t>
  </si>
  <si>
    <t>Does the API have direct impact to revenue or cost 
for the Bank?</t>
  </si>
  <si>
    <t>1. Revenue or cost -15
2. Neither -0</t>
  </si>
  <si>
    <t>IMPS (Penny Drop)</t>
  </si>
  <si>
    <t>ORMG (Venkatanarayana)</t>
  </si>
  <si>
    <t>Please attach filled Checklist and API application form in iprocess</t>
  </si>
  <si>
    <t>Is integrator using term "Bank" as suffix in your brand name</t>
  </si>
  <si>
    <t>Is integrator having existing relationaship with other financial institution?</t>
  </si>
  <si>
    <t>Update Date</t>
  </si>
  <si>
    <t>Version</t>
  </si>
  <si>
    <t>Approval matrix to be followed</t>
  </si>
  <si>
    <t>OTO - Marketplace/ agg</t>
  </si>
  <si>
    <t>Note: Please check sheet Approval Matrix</t>
  </si>
  <si>
    <t>Client assessment score:</t>
  </si>
  <si>
    <t>Type 1</t>
  </si>
  <si>
    <t>Type 2</t>
  </si>
  <si>
    <t>Type 3</t>
  </si>
  <si>
    <t>Respective IPM( implementation product manager)</t>
  </si>
  <si>
    <t>ORMG, ISG, Compliance, IPM, Brand</t>
  </si>
  <si>
    <t>Compliance, IPM, Brand</t>
  </si>
  <si>
    <t>Compliance (Nilesh Iskande)</t>
  </si>
  <si>
    <t>H2H</t>
  </si>
  <si>
    <t>H2H Flick</t>
  </si>
  <si>
    <t>V15</t>
  </si>
  <si>
    <t>MES RH</t>
  </si>
  <si>
    <t>MES ZH</t>
  </si>
  <si>
    <t>MES RHS</t>
  </si>
  <si>
    <t>MES RH, MES RHS</t>
  </si>
  <si>
    <t>MES RH,MES RHS, ISG, ORMG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</si>
</sst>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0"/>
      <name val="Zurich BT"/>
      <family val="2"/>
    </font>
    <font>
      <sz val="11"/>
      <color rgb="FF002060"/>
      <name val="Zurich BT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 applyProtection="1">
      <alignment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horizontal="left"/>
      <protection hidden="1"/>
    </xf>
    <xf numFmtId="0" fontId="2" fillId="3" borderId="6" xfId="0" applyFont="1" applyFill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0" xfId="0" applyFont="1" applyProtection="1"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vertical="center" wrapText="1"/>
      <protection hidden="1"/>
    </xf>
    <xf numFmtId="0" fontId="2" fillId="0" borderId="1" xfId="0" applyFont="1" applyBorder="1" applyProtection="1">
      <protection hidden="1"/>
    </xf>
    <xf numFmtId="0" fontId="2" fillId="0" borderId="9" xfId="0" applyFont="1" applyBorder="1" applyProtection="1">
      <protection hidden="1"/>
    </xf>
    <xf numFmtId="0" fontId="3" fillId="0" borderId="1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8" xfId="0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left"/>
      <protection hidden="1"/>
    </xf>
    <xf numFmtId="0" fontId="3" fillId="0" borderId="11" xfId="0" applyFont="1" applyBorder="1" applyProtection="1"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2" borderId="11" xfId="0" applyFont="1" applyFill="1" applyBorder="1" applyAlignment="1" applyProtection="1">
      <alignment horizontal="center"/>
      <protection hidden="1"/>
    </xf>
    <xf numFmtId="0" fontId="2" fillId="0" borderId="11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3" fillId="0" borderId="8" xfId="0" applyFont="1" applyBorder="1" applyAlignment="1" applyProtection="1">
      <alignment vertical="center" wrapText="1"/>
      <protection hidden="1"/>
    </xf>
    <xf numFmtId="0" fontId="3" fillId="0" borderId="10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horizontal="left" vertical="center" wrapText="1"/>
      <protection hidden="1"/>
    </xf>
    <xf numFmtId="0" fontId="2" fillId="2" borderId="1" xfId="0" applyFont="1" applyFill="1" applyBorder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left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" fillId="2" borderId="9" xfId="0" applyFont="1" applyFill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vertical="center"/>
      <protection hidden="1"/>
    </xf>
    <xf numFmtId="0" fontId="4" fillId="4" borderId="13" xfId="0" applyFont="1" applyFill="1" applyBorder="1" applyAlignment="1" applyProtection="1">
      <alignment vertical="center" wrapText="1"/>
      <protection hidden="1"/>
    </xf>
    <xf numFmtId="0" fontId="4" fillId="4" borderId="13" xfId="0" applyFont="1" applyFill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 wrapText="1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5" fillId="0" borderId="4" xfId="0" quotePrefix="1" applyFont="1" applyBorder="1" applyAlignment="1" applyProtection="1">
      <alignment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2" borderId="4" xfId="0" applyFont="1" applyFill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1" xfId="0" quotePrefix="1" applyFont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5" fillId="2" borderId="1" xfId="0" applyFont="1" applyFill="1" applyBorder="1" applyAlignment="1" applyProtection="1">
      <alignment vertical="center" wrapText="1"/>
      <protection hidden="1"/>
    </xf>
    <xf numFmtId="0" fontId="5" fillId="0" borderId="1" xfId="0" quotePrefix="1" applyFont="1" applyBorder="1" applyAlignment="1" applyProtection="1">
      <alignment vertical="center"/>
      <protection hidden="1"/>
    </xf>
    <xf numFmtId="0" fontId="5" fillId="0" borderId="1" xfId="0" quotePrefix="1" applyFont="1" applyBorder="1" applyAlignment="1" applyProtection="1">
      <alignment horizontal="center" vertical="center" wrapText="1"/>
      <protection hidden="1"/>
    </xf>
    <xf numFmtId="0" fontId="5" fillId="0" borderId="15" xfId="0" quotePrefix="1" applyFont="1" applyBorder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0" fontId="4" fillId="5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14" fontId="0" fillId="3" borderId="1" xfId="0" applyNumberFormat="1" applyFill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left"/>
      <protection hidden="1"/>
    </xf>
    <xf numFmtId="0" fontId="2" fillId="2" borderId="17" xfId="0" applyFont="1" applyFill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left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/>
    <xf numFmtId="0" fontId="6" fillId="0" borderId="1" xfId="0" applyFont="1" applyBorder="1" applyProtection="1">
      <protection hidden="1"/>
    </xf>
    <xf numFmtId="0" fontId="6" fillId="0" borderId="18" xfId="0" applyFont="1" applyBorder="1" applyProtection="1">
      <protection hidden="1"/>
    </xf>
    <xf numFmtId="0" fontId="0" fillId="0" borderId="19" xfId="0" applyBorder="1" applyProtection="1">
      <protection hidden="1"/>
    </xf>
    <xf numFmtId="0" fontId="6" fillId="0" borderId="2" xfId="0" applyFont="1" applyBorder="1" applyProtection="1">
      <protection hidden="1"/>
    </xf>
    <xf numFmtId="0" fontId="0" fillId="0" borderId="2" xfId="0" applyBorder="1" applyProtection="1">
      <protection hidden="1"/>
    </xf>
    <xf numFmtId="0" fontId="6" fillId="0" borderId="4" xfId="0" applyFont="1" applyBorder="1" applyProtection="1">
      <protection hidden="1"/>
    </xf>
    <xf numFmtId="0" fontId="0" fillId="0" borderId="4" xfId="0" applyBorder="1"/>
    <xf numFmtId="0" fontId="0" fillId="0" borderId="1" xfId="0" quotePrefix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4" fillId="5" borderId="13" xfId="0" applyFont="1" applyFill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quotePrefix="1" applyFont="1" applyBorder="1" applyAlignment="1" applyProtection="1">
      <alignment horizontal="center" vertical="center" wrapText="1"/>
      <protection hidden="1"/>
    </xf>
    <xf numFmtId="0" fontId="5" fillId="0" borderId="4" xfId="0" quotePrefix="1" applyFont="1" applyBorder="1" applyAlignment="1" applyProtection="1">
      <alignment horizontal="center" vertical="center" wrapText="1"/>
      <protection hidden="1"/>
    </xf>
    <xf numFmtId="0" fontId="4" fillId="4" borderId="13" xfId="0" applyFont="1" applyFill="1" applyBorder="1" applyAlignment="1" applyProtection="1">
      <alignment horizontal="center" vertical="center"/>
      <protection hidden="1"/>
    </xf>
    <xf numFmtId="0" fontId="4" fillId="4" borderId="13" xfId="0" quotePrefix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 4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workbookViewId="0">
      <selection activeCell="B1" sqref="B1"/>
    </sheetView>
  </sheetViews>
  <sheetFormatPr defaultColWidth="9.1796875" defaultRowHeight="14.5"/>
  <cols>
    <col min="1" max="1" width="29.1796875" style="30" bestFit="1" customWidth="1"/>
    <col min="2" max="2" width="60" style="30" customWidth="1"/>
    <col min="3" max="3" width="16.54296875" style="30" customWidth="1"/>
    <col min="4" max="4" width="12.26953125" style="30" bestFit="1" customWidth="1"/>
    <col min="5" max="5" width="7.7265625" style="30" customWidth="1"/>
    <col min="6" max="6" width="7.54296875" style="30" customWidth="1"/>
    <col min="7" max="7" width="10" style="30" customWidth="1"/>
    <col min="8" max="16384" width="9.1796875" style="30"/>
  </cols>
  <sheetData>
    <row r="1" spans="1:7" s="10" customFormat="1">
      <c r="A1" s="6" t="s">
        <v>44</v>
      </c>
      <c r="B1" s="7" t="s">
        <v>45</v>
      </c>
      <c r="C1" s="8"/>
      <c r="D1" s="8"/>
      <c r="E1" s="8"/>
      <c r="F1" s="8"/>
      <c r="G1" s="9"/>
    </row>
    <row r="2" spans="1:7" s="10" customFormat="1">
      <c r="A2" s="11" t="s">
        <v>28</v>
      </c>
      <c r="B2" s="2"/>
      <c r="C2" s="12"/>
      <c r="D2" s="13"/>
      <c r="E2" s="13"/>
      <c r="F2" s="13"/>
      <c r="G2" s="14"/>
    </row>
    <row r="3" spans="1:7" s="10" customFormat="1" ht="15" customHeight="1">
      <c r="A3" s="11" t="s">
        <v>50</v>
      </c>
      <c r="B3" s="15" t="s">
        <v>51</v>
      </c>
      <c r="C3" s="12"/>
      <c r="D3" s="13"/>
      <c r="E3" s="13"/>
      <c r="F3" s="13"/>
      <c r="G3" s="14"/>
    </row>
    <row r="4" spans="1:7" s="16" customFormat="1">
      <c r="A4" s="84" t="s">
        <v>62</v>
      </c>
      <c r="B4" s="85"/>
      <c r="C4" s="3"/>
      <c r="D4" s="3"/>
      <c r="E4" s="3"/>
      <c r="F4" s="3"/>
      <c r="G4" s="3"/>
    </row>
    <row r="5" spans="1:7" s="10" customFormat="1">
      <c r="A5" s="17"/>
      <c r="B5" s="18" t="s">
        <v>63</v>
      </c>
      <c r="C5" s="19">
        <f>IFERROR(VLOOKUP($C4,'API risk score'!$A:$B,2,0),0)</f>
        <v>0</v>
      </c>
      <c r="D5" s="19">
        <f>IFERROR(VLOOKUP(D4,'API risk score'!A:B,2,0),0)</f>
        <v>0</v>
      </c>
      <c r="E5" s="19">
        <f>IFERROR(VLOOKUP(E4,'API risk score'!A:B,2,0),0)</f>
        <v>0</v>
      </c>
      <c r="F5" s="19">
        <f>IFERROR(VLOOKUP(F4,'API risk score'!A:B,2,0),0)</f>
        <v>0</v>
      </c>
      <c r="G5" s="20">
        <f>IFERROR(VLOOKUP(G4,'API risk score'!A:B,2,0),0)</f>
        <v>0</v>
      </c>
    </row>
    <row r="6" spans="1:7" s="10" customFormat="1" ht="15" thickBot="1">
      <c r="A6" s="21"/>
      <c r="B6" s="22" t="s">
        <v>47</v>
      </c>
      <c r="C6" s="23">
        <f>MAX(C5:G5)</f>
        <v>0</v>
      </c>
      <c r="D6" s="24">
        <f>IF(AND(C6&gt;0,C6&lt;=35),"Low",IF(AND(C6&gt;35,C6&lt;=70),"Medium",IF(C6&gt;70,"High",0)))</f>
        <v>0</v>
      </c>
      <c r="E6" s="25"/>
      <c r="F6" s="25"/>
      <c r="G6" s="26"/>
    </row>
    <row r="7" spans="1:7" s="10" customFormat="1" ht="15" thickBot="1">
      <c r="A7" s="66" t="s">
        <v>111</v>
      </c>
      <c r="B7" s="69">
        <f>IF(AND(C13="OTO - Marketplace/ agg",AND(OR(D6="Low",D6="Medium"),OR(D9="Low",D9="Medium"))),"Type 2",IF(AND(OR(D6="Low",D6="Medium"),OR(D9="Low",D9="Medium")),"Type 1",IF(OR(D6="High",D9="High"),"Type 3",0)))</f>
        <v>0</v>
      </c>
      <c r="C7" s="68" t="s">
        <v>113</v>
      </c>
      <c r="D7" s="67"/>
    </row>
    <row r="8" spans="1:7" s="10" customFormat="1">
      <c r="A8" s="6" t="s">
        <v>114</v>
      </c>
      <c r="B8" s="8"/>
      <c r="C8" s="8"/>
      <c r="D8" s="9"/>
    </row>
    <row r="9" spans="1:7" s="10" customFormat="1">
      <c r="A9" s="27" t="s">
        <v>42</v>
      </c>
      <c r="B9" s="19">
        <f>SUM(D18:D21)</f>
        <v>0</v>
      </c>
      <c r="C9" s="19"/>
      <c r="D9" s="39" t="str">
        <f>IF(AND(B9&gt;=0,B9&lt;=30),"Low",IF(AND(B9&gt;30,B9&lt;=70),"Medium",IF(B9&gt;70,"High",0)))</f>
        <v>Low</v>
      </c>
    </row>
    <row r="10" spans="1:7" s="10" customFormat="1" ht="15" thickBot="1">
      <c r="A10" s="28" t="s">
        <v>43</v>
      </c>
      <c r="B10" s="23">
        <f>SUM(D22:D23)</f>
        <v>0</v>
      </c>
      <c r="C10" s="23"/>
      <c r="D10" s="40">
        <f>IF(AND(B10&gt;0,B10&lt;=20),"Low",IF(B10&gt;20,"High",0))</f>
        <v>0</v>
      </c>
    </row>
    <row r="11" spans="1:7" s="10" customFormat="1">
      <c r="A11" s="29"/>
    </row>
    <row r="12" spans="1:7">
      <c r="A12" s="15" t="s">
        <v>8</v>
      </c>
      <c r="B12" s="15" t="s">
        <v>3</v>
      </c>
      <c r="C12" s="15" t="s">
        <v>60</v>
      </c>
      <c r="D12" s="15" t="s">
        <v>64</v>
      </c>
    </row>
    <row r="13" spans="1:7">
      <c r="A13" s="85" t="s">
        <v>9</v>
      </c>
      <c r="B13" s="31" t="s">
        <v>10</v>
      </c>
      <c r="C13" s="4"/>
      <c r="D13" s="5"/>
      <c r="E13" s="32" t="s">
        <v>65</v>
      </c>
    </row>
    <row r="14" spans="1:7">
      <c r="A14" s="85"/>
      <c r="B14" s="31" t="s">
        <v>61</v>
      </c>
      <c r="C14" s="4"/>
      <c r="D14" s="12"/>
    </row>
    <row r="15" spans="1:7" ht="58">
      <c r="A15" s="85"/>
      <c r="B15" s="33" t="s">
        <v>12</v>
      </c>
      <c r="C15" s="4"/>
      <c r="D15" s="34"/>
    </row>
    <row r="16" spans="1:7">
      <c r="A16" s="85"/>
      <c r="B16" s="35" t="s">
        <v>107</v>
      </c>
      <c r="C16" s="4"/>
      <c r="D16" s="36"/>
    </row>
    <row r="17" spans="1:4" ht="29">
      <c r="A17" s="85"/>
      <c r="B17" s="35" t="s">
        <v>108</v>
      </c>
      <c r="C17" s="2"/>
      <c r="D17" s="34"/>
    </row>
    <row r="18" spans="1:4" ht="43.5">
      <c r="A18" s="85" t="s">
        <v>5</v>
      </c>
      <c r="B18" s="35" t="s">
        <v>23</v>
      </c>
      <c r="C18" s="2"/>
      <c r="D18" s="36">
        <f>IF(C18="No",30,0)</f>
        <v>0</v>
      </c>
    </row>
    <row r="19" spans="1:4">
      <c r="A19" s="85"/>
      <c r="B19" s="35" t="s">
        <v>24</v>
      </c>
      <c r="C19" s="2"/>
      <c r="D19" s="36">
        <f>IF(C19="No",20,0)</f>
        <v>0</v>
      </c>
    </row>
    <row r="20" spans="1:4">
      <c r="A20" s="85"/>
      <c r="B20" s="35" t="s">
        <v>26</v>
      </c>
      <c r="C20" s="2"/>
      <c r="D20" s="36">
        <f>IF(C20="No",20,0)</f>
        <v>0</v>
      </c>
    </row>
    <row r="21" spans="1:4" ht="29">
      <c r="A21" s="85"/>
      <c r="B21" s="35" t="s">
        <v>4</v>
      </c>
      <c r="C21" s="2"/>
      <c r="D21" s="36">
        <f>IF(C21="No",30,0)</f>
        <v>0</v>
      </c>
    </row>
    <row r="22" spans="1:4">
      <c r="A22" s="81" t="s">
        <v>48</v>
      </c>
      <c r="B22" s="35" t="s">
        <v>13</v>
      </c>
      <c r="C22" s="2"/>
      <c r="D22" s="36">
        <f>IF(C22="In house",5,0)</f>
        <v>0</v>
      </c>
    </row>
    <row r="23" spans="1:4">
      <c r="A23" s="82"/>
      <c r="B23" s="35" t="s">
        <v>11</v>
      </c>
      <c r="C23" s="2"/>
      <c r="D23" s="36">
        <f>IF(C23="Outside India",5,0)</f>
        <v>0</v>
      </c>
    </row>
    <row r="24" spans="1:4" ht="29">
      <c r="A24" s="82"/>
      <c r="B24" s="35" t="s">
        <v>14</v>
      </c>
      <c r="C24" s="81" t="s">
        <v>49</v>
      </c>
      <c r="D24" s="37"/>
    </row>
    <row r="25" spans="1:4" ht="29">
      <c r="A25" s="82"/>
      <c r="B25" s="35" t="s">
        <v>6</v>
      </c>
      <c r="C25" s="82"/>
      <c r="D25" s="37"/>
    </row>
    <row r="26" spans="1:4" ht="43.5">
      <c r="A26" s="82"/>
      <c r="B26" s="35" t="s">
        <v>15</v>
      </c>
      <c r="C26" s="82"/>
      <c r="D26" s="37"/>
    </row>
    <row r="27" spans="1:4" ht="43.5">
      <c r="A27" s="82"/>
      <c r="B27" s="35" t="s">
        <v>16</v>
      </c>
      <c r="C27" s="82"/>
      <c r="D27" s="37"/>
    </row>
    <row r="28" spans="1:4" ht="29">
      <c r="A28" s="82"/>
      <c r="B28" s="35" t="s">
        <v>17</v>
      </c>
      <c r="C28" s="82"/>
      <c r="D28" s="37"/>
    </row>
    <row r="29" spans="1:4" ht="29">
      <c r="A29" s="82"/>
      <c r="B29" s="35" t="s">
        <v>18</v>
      </c>
      <c r="C29" s="82"/>
      <c r="D29" s="37"/>
    </row>
    <row r="30" spans="1:4" ht="29">
      <c r="A30" s="82"/>
      <c r="B30" s="35" t="s">
        <v>19</v>
      </c>
      <c r="C30" s="82"/>
      <c r="D30" s="37"/>
    </row>
    <row r="31" spans="1:4" ht="29">
      <c r="A31" s="83"/>
      <c r="B31" s="35" t="s">
        <v>7</v>
      </c>
      <c r="C31" s="83"/>
      <c r="D31" s="37"/>
    </row>
    <row r="32" spans="1:4" ht="29">
      <c r="A32" s="82" t="s">
        <v>0</v>
      </c>
      <c r="B32" s="35" t="s">
        <v>1</v>
      </c>
      <c r="C32" s="2"/>
      <c r="D32" s="36"/>
    </row>
    <row r="33" spans="1:4" ht="29">
      <c r="A33" s="83"/>
      <c r="B33" s="35" t="s">
        <v>2</v>
      </c>
      <c r="C33" s="2"/>
      <c r="D33" s="36"/>
    </row>
    <row r="34" spans="1:4" ht="29">
      <c r="A34" s="81" t="s">
        <v>25</v>
      </c>
      <c r="B34" s="35" t="s">
        <v>20</v>
      </c>
      <c r="C34" s="2"/>
      <c r="D34" s="36"/>
    </row>
    <row r="35" spans="1:4" ht="29">
      <c r="A35" s="82"/>
      <c r="B35" s="34" t="s">
        <v>21</v>
      </c>
      <c r="C35" s="2"/>
      <c r="D35" s="36"/>
    </row>
    <row r="36" spans="1:4">
      <c r="A36" s="83"/>
      <c r="B36" s="34" t="s">
        <v>22</v>
      </c>
      <c r="C36" s="2"/>
      <c r="D36" s="36"/>
    </row>
  </sheetData>
  <sheetProtection algorithmName="SHA-512" hashValue="iHhiDjX6UxSYFqoUrwT2iSJIAcpaxNRRkmYq1Ln0olRkMVm71PkyjecxnMNqFTpQroOOgr+smNrUqB0ndKOFlA==" saltValue="2N2vYUlv+WsN2qvyOEVtvQ==" spinCount="100000" sheet="1" objects="1" scenarios="1"/>
  <mergeCells count="7">
    <mergeCell ref="C24:C31"/>
    <mergeCell ref="A4:B4"/>
    <mergeCell ref="A13:A17"/>
    <mergeCell ref="A32:A33"/>
    <mergeCell ref="A34:A36"/>
    <mergeCell ref="A18:A21"/>
    <mergeCell ref="A22:A31"/>
  </mergeCells>
  <dataValidations count="3">
    <dataValidation type="list" allowBlank="1" showInputMessage="1" showErrorMessage="1" sqref="C16:C21 C32:C36" xr:uid="{00000000-0002-0000-0000-000000000000}">
      <formula1>"Yes, No"</formula1>
    </dataValidation>
    <dataValidation type="list" allowBlank="1" showInputMessage="1" showErrorMessage="1" sqref="C23" xr:uid="{00000000-0002-0000-0000-000001000000}">
      <formula1>"India, Outside India"</formula1>
    </dataValidation>
    <dataValidation type="list" allowBlank="1" showInputMessage="1" showErrorMessage="1" sqref="C22" xr:uid="{00000000-0002-0000-0000-000002000000}">
      <formula1>"Cloud, In house"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'API risk score'!$F:$F</xm:f>
          </x14:formula1>
          <xm:sqref>C13</xm:sqref>
        </x14:dataValidation>
        <x14:dataValidation type="list" allowBlank="1" showInputMessage="1" showErrorMessage="1" xr:uid="{00000000-0002-0000-0000-000004000000}">
          <x14:formula1>
            <xm:f>'API risk score'!$A$2:$A$1048576</xm:f>
          </x14:formula1>
          <xm:sqref>C4:G4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="104" zoomScaleNormal="104" workbookViewId="0">
      <selection activeCell="B17" sqref="B17"/>
    </sheetView>
  </sheetViews>
  <sheetFormatPr defaultColWidth="9.1796875" defaultRowHeight="14.5"/>
  <cols>
    <col min="1" max="1" width="15.26953125" style="38" bestFit="1" customWidth="1"/>
    <col min="2" max="2" width="63.54296875" style="38" bestFit="1" customWidth="1"/>
    <col min="3" max="3" width="31.08984375" style="63" bestFit="1" customWidth="1"/>
    <col min="4" max="4" width="25.453125" style="38" bestFit="1" customWidth="1"/>
    <col min="5" max="5" width="60.453125" style="38" bestFit="1" customWidth="1"/>
    <col min="6" max="16384" width="9.1796875" style="38"/>
  </cols>
  <sheetData>
    <row r="1" spans="1:4">
      <c r="A1" s="73" t="s">
        <v>46</v>
      </c>
      <c r="B1" s="73" t="s">
        <v>115</v>
      </c>
      <c r="C1" s="73" t="s">
        <v>116</v>
      </c>
      <c r="D1" s="74" t="s">
        <v>117</v>
      </c>
    </row>
    <row r="2" spans="1:4" ht="15" customHeight="1">
      <c r="A2" s="73" t="s">
        <v>66</v>
      </c>
      <c r="B2" s="70" t="s">
        <v>125</v>
      </c>
      <c r="C2" s="70" t="s">
        <v>126</v>
      </c>
      <c r="D2" s="70" t="s">
        <v>126</v>
      </c>
    </row>
    <row r="3" spans="1:4" ht="15" customHeight="1">
      <c r="A3" s="76"/>
      <c r="B3" s="77"/>
      <c r="C3" s="77"/>
      <c r="D3" s="75"/>
    </row>
    <row r="4" spans="1:4" ht="15" customHeight="1">
      <c r="A4" s="73" t="s">
        <v>67</v>
      </c>
      <c r="B4" s="72" t="s">
        <v>127</v>
      </c>
      <c r="C4" s="72" t="s">
        <v>128</v>
      </c>
      <c r="D4" s="72" t="s">
        <v>129</v>
      </c>
    </row>
    <row r="5" spans="1:4" ht="15" customHeight="1">
      <c r="A5" s="73"/>
      <c r="B5" s="72"/>
      <c r="C5" s="72"/>
      <c r="D5" s="72"/>
    </row>
    <row r="6" spans="1:4" ht="15" customHeight="1">
      <c r="A6" s="73" t="s">
        <v>70</v>
      </c>
      <c r="B6" s="72" t="s">
        <v>119</v>
      </c>
      <c r="C6" s="72" t="s">
        <v>119</v>
      </c>
      <c r="D6" s="72" t="s">
        <v>120</v>
      </c>
    </row>
    <row r="7" spans="1:4" ht="15" customHeight="1">
      <c r="A7" s="78"/>
      <c r="B7" s="79"/>
      <c r="C7" s="79"/>
      <c r="D7"/>
    </row>
    <row r="8" spans="1:4">
      <c r="A8" s="70"/>
      <c r="B8" s="70" t="s">
        <v>105</v>
      </c>
      <c r="C8" s="71">
        <v>269785</v>
      </c>
    </row>
    <row r="9" spans="1:4">
      <c r="A9" s="70"/>
      <c r="B9" s="70" t="s">
        <v>68</v>
      </c>
      <c r="C9" s="71">
        <v>458926</v>
      </c>
    </row>
    <row r="10" spans="1:4">
      <c r="A10" s="70"/>
      <c r="B10" s="70" t="s">
        <v>69</v>
      </c>
      <c r="C10" s="71">
        <v>168521</v>
      </c>
    </row>
    <row r="11" spans="1:4">
      <c r="A11" s="70"/>
      <c r="B11" s="70" t="s">
        <v>121</v>
      </c>
      <c r="C11" s="80">
        <v>843499</v>
      </c>
    </row>
    <row r="12" spans="1:4">
      <c r="A12" s="70"/>
      <c r="B12" s="70" t="s">
        <v>118</v>
      </c>
      <c r="C12" s="71"/>
    </row>
    <row r="14" spans="1:4">
      <c r="B14" s="38" t="s">
        <v>106</v>
      </c>
    </row>
    <row r="17" spans="1:2">
      <c r="A17" s="64" t="s">
        <v>109</v>
      </c>
      <c r="B17" s="65">
        <v>46104</v>
      </c>
    </row>
    <row r="18" spans="1:2">
      <c r="A18" s="64" t="s">
        <v>110</v>
      </c>
      <c r="B18" s="64" t="s">
        <v>124</v>
      </c>
    </row>
  </sheetData>
  <sheetProtection algorithmName="SHA-512" hashValue="gijTINu86hDGndjmBscZHWltAJwMyNGQc0Z34Wr/YeRAKmuOJr9T/fFf6jSIJHUSHLaTDcIsYwE0WV6paQxfXg==" saltValue="TSv7zR7jUW21IbrtiQNSPQ==" spinCount="100000" sheet="1" objects="1" scenarios="1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"/>
  <sheetViews>
    <sheetView workbookViewId="0">
      <pane ySplit="1" topLeftCell="A2" activePane="bottomLeft" state="frozen"/>
      <selection activeCell="C4" sqref="C4"/>
      <selection pane="bottomLeft" sqref="A1:A2"/>
    </sheetView>
  </sheetViews>
  <sheetFormatPr defaultColWidth="9.1796875" defaultRowHeight="14.5"/>
  <cols>
    <col min="1" max="1" width="7.453125" style="41" bestFit="1" customWidth="1"/>
    <col min="2" max="2" width="11.54296875" style="41" bestFit="1" customWidth="1"/>
    <col min="3" max="3" width="25.7265625" style="41" customWidth="1"/>
    <col min="4" max="4" width="11.7265625" style="41" customWidth="1"/>
    <col min="5" max="5" width="11.453125" style="41" customWidth="1"/>
    <col min="6" max="6" width="13.1796875" style="41" bestFit="1" customWidth="1"/>
    <col min="7" max="7" width="33.1796875" style="41" bestFit="1" customWidth="1"/>
    <col min="8" max="9" width="12.81640625" style="61" customWidth="1"/>
    <col min="10" max="16" width="12.81640625" style="62" customWidth="1"/>
    <col min="17" max="17" width="15.81640625" style="62" customWidth="1"/>
    <col min="18" max="19" width="12.81640625" style="62" customWidth="1"/>
    <col min="20" max="20" width="14.7265625" style="62" customWidth="1"/>
    <col min="21" max="16384" width="9.1796875" style="41"/>
  </cols>
  <sheetData>
    <row r="1" spans="1:20">
      <c r="A1" s="91" t="s">
        <v>71</v>
      </c>
      <c r="B1" s="92" t="s">
        <v>72</v>
      </c>
      <c r="C1" s="92" t="s">
        <v>3</v>
      </c>
      <c r="D1" s="86" t="s">
        <v>73</v>
      </c>
      <c r="E1" s="86"/>
      <c r="F1" s="86"/>
      <c r="G1" s="92" t="s">
        <v>74</v>
      </c>
      <c r="H1" s="86" t="s">
        <v>30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ht="30" customHeight="1">
      <c r="A2" s="91"/>
      <c r="B2" s="92"/>
      <c r="C2" s="92"/>
      <c r="D2" s="42" t="s">
        <v>75</v>
      </c>
      <c r="E2" s="42" t="s">
        <v>76</v>
      </c>
      <c r="F2" s="42" t="s">
        <v>77</v>
      </c>
      <c r="G2" s="92"/>
      <c r="H2" s="43" t="s">
        <v>36</v>
      </c>
      <c r="I2" s="43" t="s">
        <v>78</v>
      </c>
      <c r="J2" s="43" t="s">
        <v>79</v>
      </c>
      <c r="K2" s="43" t="s">
        <v>80</v>
      </c>
      <c r="L2" s="43" t="s">
        <v>81</v>
      </c>
      <c r="M2" s="43" t="s">
        <v>82</v>
      </c>
      <c r="N2" s="43" t="s">
        <v>83</v>
      </c>
      <c r="O2" s="43" t="s">
        <v>84</v>
      </c>
      <c r="P2" s="43" t="s">
        <v>85</v>
      </c>
      <c r="Q2" s="43" t="s">
        <v>86</v>
      </c>
      <c r="R2" s="43" t="s">
        <v>87</v>
      </c>
      <c r="S2" s="43" t="s">
        <v>122</v>
      </c>
      <c r="T2" s="43" t="s">
        <v>88</v>
      </c>
    </row>
    <row r="3" spans="1:20" ht="42">
      <c r="A3" s="44">
        <v>1</v>
      </c>
      <c r="B3" s="87" t="s">
        <v>89</v>
      </c>
      <c r="C3" s="45" t="s">
        <v>90</v>
      </c>
      <c r="D3" s="46"/>
      <c r="E3" s="46"/>
      <c r="F3" s="46"/>
      <c r="G3" s="47" t="s">
        <v>91</v>
      </c>
      <c r="H3" s="48">
        <v>7.5</v>
      </c>
      <c r="I3" s="48">
        <v>7.5</v>
      </c>
      <c r="J3" s="45">
        <v>7.5</v>
      </c>
      <c r="K3" s="45">
        <v>7.5</v>
      </c>
      <c r="L3" s="45">
        <v>7.5</v>
      </c>
      <c r="M3" s="45">
        <v>7.5</v>
      </c>
      <c r="N3" s="45">
        <v>7.5</v>
      </c>
      <c r="O3" s="49">
        <v>7.5</v>
      </c>
      <c r="P3" s="49">
        <v>7.5</v>
      </c>
      <c r="Q3" s="45">
        <v>7.5</v>
      </c>
      <c r="R3" s="45">
        <v>7.5</v>
      </c>
      <c r="S3" s="45">
        <v>7.5</v>
      </c>
      <c r="T3" s="45">
        <v>7.5</v>
      </c>
    </row>
    <row r="4" spans="1:20" ht="42">
      <c r="A4" s="50">
        <v>2</v>
      </c>
      <c r="B4" s="88"/>
      <c r="C4" s="51" t="s">
        <v>92</v>
      </c>
      <c r="D4" s="52"/>
      <c r="E4" s="52"/>
      <c r="F4" s="52"/>
      <c r="G4" s="51" t="s">
        <v>91</v>
      </c>
      <c r="H4" s="53">
        <v>7.5</v>
      </c>
      <c r="I4" s="53">
        <v>7.5</v>
      </c>
      <c r="J4" s="54">
        <v>7.5</v>
      </c>
      <c r="K4" s="54">
        <v>7.5</v>
      </c>
      <c r="L4" s="54">
        <v>7.5</v>
      </c>
      <c r="M4" s="54">
        <v>7.5</v>
      </c>
      <c r="N4" s="54">
        <v>7.5</v>
      </c>
      <c r="O4" s="54">
        <v>7.5</v>
      </c>
      <c r="P4" s="54">
        <v>7.5</v>
      </c>
      <c r="Q4" s="54">
        <v>7.5</v>
      </c>
      <c r="R4" s="54">
        <v>7.5</v>
      </c>
      <c r="S4" s="54">
        <v>7.5</v>
      </c>
      <c r="T4" s="54">
        <v>7.5</v>
      </c>
    </row>
    <row r="5" spans="1:20" ht="70">
      <c r="A5" s="50">
        <v>3</v>
      </c>
      <c r="B5" s="89" t="s">
        <v>93</v>
      </c>
      <c r="C5" s="51" t="s">
        <v>94</v>
      </c>
      <c r="D5" s="52"/>
      <c r="E5" s="52"/>
      <c r="F5" s="52"/>
      <c r="G5" s="51" t="s">
        <v>95</v>
      </c>
      <c r="H5" s="53">
        <v>10</v>
      </c>
      <c r="I5" s="53">
        <v>10</v>
      </c>
      <c r="J5" s="54">
        <v>10</v>
      </c>
      <c r="K5" s="54">
        <v>10</v>
      </c>
      <c r="L5" s="54">
        <v>10</v>
      </c>
      <c r="M5" s="54">
        <v>10</v>
      </c>
      <c r="N5" s="54">
        <v>10</v>
      </c>
      <c r="O5" s="55">
        <v>10</v>
      </c>
      <c r="P5" s="55">
        <v>10</v>
      </c>
      <c r="Q5" s="54">
        <v>0</v>
      </c>
      <c r="R5" s="54">
        <v>10</v>
      </c>
      <c r="S5" s="54">
        <v>10</v>
      </c>
      <c r="T5" s="54">
        <v>0</v>
      </c>
    </row>
    <row r="6" spans="1:20" ht="28">
      <c r="A6" s="50">
        <v>4</v>
      </c>
      <c r="B6" s="90"/>
      <c r="C6" s="54" t="s">
        <v>96</v>
      </c>
      <c r="D6" s="52"/>
      <c r="E6" s="52"/>
      <c r="F6" s="52"/>
      <c r="G6" s="51" t="s">
        <v>97</v>
      </c>
      <c r="H6" s="53">
        <v>0</v>
      </c>
      <c r="I6" s="53">
        <v>0</v>
      </c>
      <c r="J6" s="54">
        <v>0</v>
      </c>
      <c r="K6" s="54">
        <v>10</v>
      </c>
      <c r="L6" s="54">
        <v>0</v>
      </c>
      <c r="M6" s="54">
        <v>0</v>
      </c>
      <c r="N6" s="54">
        <v>0</v>
      </c>
      <c r="O6" s="55">
        <v>0</v>
      </c>
      <c r="P6" s="55">
        <v>0</v>
      </c>
      <c r="Q6" s="54">
        <v>0</v>
      </c>
      <c r="R6" s="54">
        <v>0</v>
      </c>
      <c r="S6" s="54">
        <v>10</v>
      </c>
      <c r="T6" s="54">
        <v>0</v>
      </c>
    </row>
    <row r="7" spans="1:20" ht="42">
      <c r="A7" s="50">
        <v>5</v>
      </c>
      <c r="B7" s="56" t="s">
        <v>98</v>
      </c>
      <c r="C7" s="54" t="s">
        <v>99</v>
      </c>
      <c r="D7" s="52"/>
      <c r="E7" s="52"/>
      <c r="F7" s="52"/>
      <c r="G7" s="51" t="s">
        <v>100</v>
      </c>
      <c r="H7" s="53">
        <v>0</v>
      </c>
      <c r="I7" s="57">
        <v>0</v>
      </c>
      <c r="J7" s="53">
        <v>0</v>
      </c>
      <c r="K7" s="53">
        <v>0</v>
      </c>
      <c r="L7" s="54">
        <v>0</v>
      </c>
      <c r="M7" s="54">
        <v>0</v>
      </c>
      <c r="N7" s="54">
        <v>0</v>
      </c>
      <c r="O7" s="55">
        <v>0</v>
      </c>
      <c r="P7" s="55">
        <v>0</v>
      </c>
      <c r="Q7" s="54">
        <v>0</v>
      </c>
      <c r="R7" s="54">
        <v>0</v>
      </c>
      <c r="S7" s="54">
        <v>0</v>
      </c>
      <c r="T7" s="54">
        <v>0</v>
      </c>
    </row>
    <row r="8" spans="1:20" ht="42">
      <c r="A8" s="50">
        <v>6</v>
      </c>
      <c r="B8" s="51" t="s">
        <v>101</v>
      </c>
      <c r="C8" s="54" t="s">
        <v>102</v>
      </c>
      <c r="D8" s="52"/>
      <c r="E8" s="52"/>
      <c r="F8" s="52"/>
      <c r="G8" s="58" t="s">
        <v>103</v>
      </c>
      <c r="H8" s="53">
        <v>15</v>
      </c>
      <c r="I8" s="53">
        <v>15</v>
      </c>
      <c r="J8" s="54">
        <v>15</v>
      </c>
      <c r="K8" s="54">
        <v>15</v>
      </c>
      <c r="L8" s="54">
        <v>15</v>
      </c>
      <c r="M8" s="54">
        <v>15</v>
      </c>
      <c r="N8" s="54">
        <v>15</v>
      </c>
      <c r="O8" s="54">
        <v>15</v>
      </c>
      <c r="P8" s="54">
        <v>15</v>
      </c>
      <c r="Q8" s="54">
        <v>15</v>
      </c>
      <c r="R8" s="54">
        <v>15</v>
      </c>
      <c r="S8" s="54">
        <v>15</v>
      </c>
      <c r="T8" s="54">
        <v>15</v>
      </c>
    </row>
    <row r="9" spans="1:20">
      <c r="A9" s="59"/>
      <c r="B9" s="59"/>
      <c r="C9" s="59"/>
      <c r="D9" s="59"/>
      <c r="E9" s="59"/>
      <c r="F9" s="59"/>
      <c r="G9" s="59"/>
      <c r="H9" s="60">
        <f>SUM(H3:H8)</f>
        <v>40</v>
      </c>
      <c r="I9" s="60">
        <f t="shared" ref="I9:T9" si="0">SUM(I3:I8)</f>
        <v>40</v>
      </c>
      <c r="J9" s="60">
        <f t="shared" si="0"/>
        <v>40</v>
      </c>
      <c r="K9" s="60">
        <f t="shared" si="0"/>
        <v>50</v>
      </c>
      <c r="L9" s="60">
        <f t="shared" si="0"/>
        <v>40</v>
      </c>
      <c r="M9" s="60">
        <f t="shared" si="0"/>
        <v>40</v>
      </c>
      <c r="N9" s="60">
        <f t="shared" si="0"/>
        <v>40</v>
      </c>
      <c r="O9" s="60">
        <f t="shared" si="0"/>
        <v>40</v>
      </c>
      <c r="P9" s="60">
        <f t="shared" si="0"/>
        <v>40</v>
      </c>
      <c r="Q9" s="60">
        <f t="shared" si="0"/>
        <v>30</v>
      </c>
      <c r="R9" s="60">
        <f t="shared" si="0"/>
        <v>40</v>
      </c>
      <c r="S9" s="60">
        <f t="shared" si="0"/>
        <v>50</v>
      </c>
      <c r="T9" s="60">
        <f t="shared" si="0"/>
        <v>30</v>
      </c>
    </row>
  </sheetData>
  <sheetProtection algorithmName="SHA-512" hashValue="XKur0D0r5tPPosuZic2r5bm8xgIoe01dNAK4PBda2G5/Nd0xVr4pyZnRDyiYJq3Dspr7ZeYsniZBQjG2+wm7ew==" saltValue="eB6MPCOnIXoiWq9HqqNcvA==" spinCount="100000" sheet="1" objects="1" scenarios="1"/>
  <mergeCells count="8">
    <mergeCell ref="H1:T1"/>
    <mergeCell ref="B3:B4"/>
    <mergeCell ref="B5:B6"/>
    <mergeCell ref="A1:A2"/>
    <mergeCell ref="B1:B2"/>
    <mergeCell ref="C1:C2"/>
    <mergeCell ref="D1:F1"/>
    <mergeCell ref="G1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A9" sqref="A9"/>
    </sheetView>
  </sheetViews>
  <sheetFormatPr defaultRowHeight="14.5"/>
  <cols>
    <col min="1" max="1" width="21.81640625" bestFit="1" customWidth="1"/>
    <col min="2" max="2" width="9.1796875" style="1"/>
  </cols>
  <sheetData>
    <row r="1" spans="1:6">
      <c r="A1" t="s">
        <v>30</v>
      </c>
      <c r="B1" s="1" t="s">
        <v>27</v>
      </c>
    </row>
    <row r="2" spans="1:6">
      <c r="A2" t="s">
        <v>29</v>
      </c>
      <c r="B2" s="1">
        <v>40</v>
      </c>
      <c r="C2" t="s">
        <v>31</v>
      </c>
      <c r="F2" t="s">
        <v>52</v>
      </c>
    </row>
    <row r="3" spans="1:6">
      <c r="A3" t="s">
        <v>35</v>
      </c>
      <c r="B3" s="1">
        <v>50</v>
      </c>
      <c r="C3" t="s">
        <v>31</v>
      </c>
      <c r="F3" t="s">
        <v>53</v>
      </c>
    </row>
    <row r="4" spans="1:6">
      <c r="A4" t="s">
        <v>38</v>
      </c>
      <c r="B4" s="1">
        <v>40</v>
      </c>
      <c r="C4" t="s">
        <v>31</v>
      </c>
      <c r="F4" t="s">
        <v>54</v>
      </c>
    </row>
    <row r="5" spans="1:6">
      <c r="A5" t="s">
        <v>39</v>
      </c>
      <c r="B5" s="1">
        <v>40</v>
      </c>
      <c r="C5" t="s">
        <v>31</v>
      </c>
      <c r="F5" t="s">
        <v>55</v>
      </c>
    </row>
    <row r="6" spans="1:6">
      <c r="A6" t="s">
        <v>40</v>
      </c>
      <c r="B6" s="1">
        <v>40</v>
      </c>
      <c r="C6" t="s">
        <v>31</v>
      </c>
      <c r="F6" t="s">
        <v>56</v>
      </c>
    </row>
    <row r="7" spans="1:6">
      <c r="A7" t="s">
        <v>33</v>
      </c>
      <c r="B7" s="1">
        <v>30</v>
      </c>
      <c r="C7" t="s">
        <v>32</v>
      </c>
      <c r="F7" t="s">
        <v>57</v>
      </c>
    </row>
    <row r="8" spans="1:6">
      <c r="A8" t="s">
        <v>34</v>
      </c>
      <c r="B8" s="1">
        <v>40</v>
      </c>
      <c r="C8" t="s">
        <v>31</v>
      </c>
      <c r="F8" t="s">
        <v>58</v>
      </c>
    </row>
    <row r="9" spans="1:6">
      <c r="A9" t="s">
        <v>123</v>
      </c>
      <c r="B9" s="1">
        <v>50</v>
      </c>
      <c r="C9" t="s">
        <v>31</v>
      </c>
      <c r="F9" t="s">
        <v>59</v>
      </c>
    </row>
    <row r="10" spans="1:6">
      <c r="A10" t="s">
        <v>41</v>
      </c>
      <c r="B10" s="1">
        <v>30</v>
      </c>
      <c r="C10" t="s">
        <v>32</v>
      </c>
      <c r="F10" t="s">
        <v>112</v>
      </c>
    </row>
    <row r="11" spans="1:6">
      <c r="A11" t="s">
        <v>36</v>
      </c>
      <c r="B11" s="1">
        <v>40</v>
      </c>
      <c r="C11" t="s">
        <v>31</v>
      </c>
    </row>
    <row r="12" spans="1:6">
      <c r="A12" t="s">
        <v>37</v>
      </c>
      <c r="B12" s="1">
        <v>40</v>
      </c>
      <c r="C12" t="s">
        <v>31</v>
      </c>
    </row>
    <row r="13" spans="1:6">
      <c r="A13" t="s">
        <v>104</v>
      </c>
      <c r="B13" s="1">
        <v>40</v>
      </c>
      <c r="C1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ikiField xmlns="http://schemas.microsoft.com/sharepoint/v3" xsi:nil="true"/>
    <TaxCatchAll xmlns="023b2816-e46e-491b-98ed-53c6a4ff769a" xsi:nil="true"/>
    <lcf76f155ced4ddcb4097134ff3c332f xmlns="71a1477f-a12b-4043-aef8-fc24f821c00f">
      <Terms xmlns="http://schemas.microsoft.com/office/infopath/2007/PartnerControls"/>
    </lcf76f155ced4ddcb4097134ff3c332f>
    <_ExtendedDescription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iki Page" ma:contentTypeID="0x01010800D5DF4C7A16FF5A4E9A01E6EB312FCCFB" ma:contentTypeVersion="15" ma:contentTypeDescription="Create a new wiki page." ma:contentTypeScope="" ma:versionID="18c2b0c358e6071d2d6bc14739313d83">
  <xsd:schema xmlns:xsd="http://www.w3.org/2001/XMLSchema" xmlns:xs="http://www.w3.org/2001/XMLSchema" xmlns:p="http://schemas.microsoft.com/office/2006/metadata/properties" xmlns:ns1="http://schemas.microsoft.com/sharepoint/v3" xmlns:ns2="71a1477f-a12b-4043-aef8-fc24f821c00f" xmlns:ns3="023b2816-e46e-491b-98ed-53c6a4ff769a" targetNamespace="http://schemas.microsoft.com/office/2006/metadata/properties" ma:root="true" ma:fieldsID="9fcf64b12f969a48fba032f34605371b" ns1:_="" ns2:_="" ns3:_="">
    <xsd:import namespace="http://schemas.microsoft.com/sharepoint/v3"/>
    <xsd:import namespace="71a1477f-a12b-4043-aef8-fc24f821c00f"/>
    <xsd:import namespace="023b2816-e46e-491b-98ed-53c6a4ff769a"/>
    <xsd:element name="properties">
      <xsd:complexType>
        <xsd:sequence>
          <xsd:element name="documentManagement">
            <xsd:complexType>
              <xsd:all>
                <xsd:element ref="ns1:WikiFiel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1:_Extended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WikiField" ma:index="7" nillable="true" ma:displayName="Wiki Content" ma:internalName="WikiField">
      <xsd:simpleType>
        <xsd:restriction base="dms:Note"/>
      </xsd:simpleType>
    </xsd:element>
    <xsd:element name="_ExtendedDescription" ma:index="23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1477f-a12b-4043-aef8-fc24f821c0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18b8b8-60da-404e-965f-267646ff2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b2816-e46e-491b-98ed-53c6a4ff769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0f58f83-5223-4665-b185-a63a75a9b5da}" ma:internalName="TaxCatchAll" ma:showField="CatchAllData" ma:web="023b2816-e46e-491b-98ed-53c6a4ff76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WikiEditForm</Display>
  <Edit>WikiEditForm</Edit>
  <New>WikiEditForm</New>
</FormTemplates>
</file>

<file path=customXml/itemProps1.xml><?xml version="1.0" encoding="utf-8"?>
<ds:datastoreItem xmlns:ds="http://schemas.openxmlformats.org/officeDocument/2006/customXml" ds:itemID="{E42097E0-9DB9-4AD7-B8A6-905324DED6B9}">
  <ds:schemaRefs>
    <ds:schemaRef ds:uri="http://schemas.microsoft.com/office/2006/documentManagement/types"/>
    <ds:schemaRef ds:uri="023b2816-e46e-491b-98ed-53c6a4ff769a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71a1477f-a12b-4043-aef8-fc24f821c00f"/>
    <ds:schemaRef ds:uri="http://purl.org/dc/terms/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FAD1A78-0A84-49FF-8410-D20C2AC7CF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1477f-a12b-4043-aef8-fc24f821c00f"/>
    <ds:schemaRef ds:uri="023b2816-e46e-491b-98ed-53c6a4ff7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5CD147-37A6-463B-BC74-4865170A98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Approval Matrix</vt:lpstr>
      <vt:lpstr>API Risk score1</vt:lpstr>
      <vt:lpstr>API risk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 Garima     /DEP_CMSPRO/IBANK/THN</dc:creator>
  <cp:lastModifiedBy>Jigar Shah     /MERCHANTPR/IBANK/MUM</cp:lastModifiedBy>
  <dcterms:created xsi:type="dcterms:W3CDTF">2021-09-30T03:24:55Z</dcterms:created>
  <dcterms:modified xsi:type="dcterms:W3CDTF">2026-03-23T11:45:33Z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19400</vt:r8>
  </property>
  <property fmtid="{D5CDD505-2E9C-101B-9397-08002B2CF9AE}" pid="3" name="MediaServiceImageTags">
    <vt:lpwstr/>
  </property>
  <property fmtid="{D5CDD505-2E9C-101B-9397-08002B2CF9AE}" pid="4" name="ContentTypeId">
    <vt:lpwstr>0x01010800D5DF4C7A16FF5A4E9A01E6EB312FCCFB</vt:lpwstr>
  </property>
</Properties>
</file>